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kautest-my.sharepoint.com/personal/pkry58y3_s_okayama-u_ac_jp/Documents/Fujita論文/Raw_data/"/>
    </mc:Choice>
  </mc:AlternateContent>
  <xr:revisionPtr revIDLastSave="81" documentId="8_{D57C586C-FFBC-4B4C-BB19-72285F633F28}" xr6:coauthVersionLast="47" xr6:coauthVersionMax="47" xr10:uidLastSave="{C1EC9600-6973-374B-9AF1-F0A562FECDD1}"/>
  <bookViews>
    <workbookView xWindow="10420" yWindow="5100" windowWidth="40180" windowHeight="17360" xr2:uid="{740CEB3E-1162-DC42-8D7A-2ED910D6EDEE}"/>
  </bookViews>
  <sheets>
    <sheet name="Figure3" sheetId="1" r:id="rId1"/>
    <sheet name="Figure3_S2" sheetId="2" r:id="rId2"/>
    <sheet name="Figure3_S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6" i="2" l="1"/>
  <c r="R26" i="2"/>
  <c r="Q26" i="2"/>
  <c r="S25" i="2"/>
  <c r="R25" i="2"/>
  <c r="Q25" i="2"/>
  <c r="N26" i="2"/>
  <c r="M26" i="2"/>
  <c r="L26" i="2"/>
  <c r="N25" i="2"/>
  <c r="M25" i="2"/>
  <c r="L25" i="2"/>
  <c r="X26" i="2"/>
  <c r="W26" i="2"/>
  <c r="V26" i="2"/>
  <c r="X25" i="2"/>
  <c r="W25" i="2"/>
  <c r="V25" i="2"/>
  <c r="Q17" i="2"/>
  <c r="S16" i="2"/>
  <c r="S17" i="2" s="1"/>
  <c r="R16" i="2"/>
  <c r="R17" i="2" s="1"/>
  <c r="Q16" i="2"/>
  <c r="X8" i="2"/>
  <c r="W8" i="2"/>
  <c r="V8" i="2"/>
  <c r="X7" i="2"/>
  <c r="W7" i="2"/>
  <c r="V7" i="2"/>
  <c r="N17" i="2"/>
  <c r="M17" i="2"/>
  <c r="L17" i="2"/>
  <c r="N16" i="2"/>
  <c r="M16" i="2"/>
  <c r="L16" i="2"/>
  <c r="S8" i="2"/>
  <c r="R8" i="2"/>
  <c r="Q8" i="2"/>
  <c r="S7" i="2"/>
  <c r="R7" i="2"/>
  <c r="Q7" i="2"/>
  <c r="D26" i="2"/>
  <c r="C26" i="2"/>
  <c r="B26" i="2"/>
  <c r="D25" i="2"/>
  <c r="C25" i="2"/>
  <c r="B25" i="2"/>
  <c r="I26" i="2"/>
  <c r="H26" i="2"/>
  <c r="G26" i="2"/>
  <c r="I25" i="2"/>
  <c r="H25" i="2"/>
  <c r="G25" i="2"/>
  <c r="N8" i="2"/>
  <c r="M8" i="2"/>
  <c r="L8" i="2"/>
  <c r="N7" i="2"/>
  <c r="M7" i="2"/>
  <c r="L7" i="2"/>
  <c r="I8" i="2"/>
  <c r="H8" i="2"/>
  <c r="G8" i="2"/>
  <c r="D8" i="2"/>
  <c r="C8" i="2"/>
  <c r="B8" i="2"/>
  <c r="I7" i="2"/>
  <c r="H7" i="2"/>
  <c r="G7" i="2"/>
  <c r="D7" i="2"/>
  <c r="C7" i="2"/>
  <c r="B7" i="2"/>
  <c r="S31" i="1"/>
  <c r="R31" i="1"/>
  <c r="Q31" i="1"/>
  <c r="S30" i="1"/>
  <c r="R30" i="1"/>
  <c r="Q30" i="1"/>
  <c r="N31" i="1"/>
  <c r="M31" i="1"/>
  <c r="L31" i="1"/>
  <c r="N30" i="1"/>
  <c r="M30" i="1"/>
  <c r="L30" i="1"/>
  <c r="I31" i="1"/>
  <c r="H31" i="1"/>
  <c r="G31" i="1"/>
  <c r="I30" i="1"/>
  <c r="H30" i="1"/>
  <c r="G30" i="1"/>
  <c r="S23" i="1"/>
  <c r="R23" i="1"/>
  <c r="Q23" i="1"/>
  <c r="S22" i="1"/>
  <c r="R22" i="1"/>
  <c r="Q22" i="1"/>
  <c r="N23" i="1"/>
  <c r="M23" i="1"/>
  <c r="L23" i="1"/>
  <c r="N22" i="1"/>
  <c r="M22" i="1"/>
  <c r="L22" i="1"/>
  <c r="B31" i="1"/>
  <c r="D30" i="1"/>
  <c r="D31" i="1" s="1"/>
  <c r="C30" i="1"/>
  <c r="C31" i="1" s="1"/>
  <c r="B30" i="1"/>
  <c r="I23" i="1"/>
  <c r="H23" i="1"/>
  <c r="G23" i="1"/>
  <c r="I22" i="1"/>
  <c r="H22" i="1"/>
  <c r="G22" i="1"/>
  <c r="D23" i="1"/>
  <c r="C23" i="1"/>
  <c r="B23" i="1"/>
  <c r="D22" i="1"/>
  <c r="C22" i="1"/>
  <c r="B22" i="1"/>
</calcChain>
</file>

<file path=xl/sharedStrings.xml><?xml version="1.0" encoding="utf-8"?>
<sst xmlns="http://schemas.openxmlformats.org/spreadsheetml/2006/main" count="261" uniqueCount="54">
  <si>
    <t>mox_Log2FC</t>
    <phoneticPr fontId="1"/>
  </si>
  <si>
    <t>mox-YG_Log2FC</t>
    <phoneticPr fontId="1"/>
  </si>
  <si>
    <t>mox_FDR</t>
    <phoneticPr fontId="1"/>
  </si>
  <si>
    <t>mox-YG_FDR</t>
    <phoneticPr fontId="1"/>
  </si>
  <si>
    <t>AGP1</t>
  </si>
  <si>
    <t>AGP3</t>
  </si>
  <si>
    <t>BAP3</t>
  </si>
  <si>
    <t>GAP1</t>
  </si>
  <si>
    <t>TAT1</t>
  </si>
  <si>
    <t>TAT2</t>
  </si>
  <si>
    <t>MEP1</t>
  </si>
  <si>
    <t>MEP2</t>
  </si>
  <si>
    <t>HXT1</t>
  </si>
  <si>
    <t>HXT2</t>
  </si>
  <si>
    <t>HXT6</t>
  </si>
  <si>
    <t>HXT7</t>
  </si>
  <si>
    <t>Gene_name</t>
    <phoneticPr fontId="1"/>
  </si>
  <si>
    <t>Figure3C</t>
    <phoneticPr fontId="1"/>
  </si>
  <si>
    <t>Figure3D</t>
    <phoneticPr fontId="1"/>
  </si>
  <si>
    <t>ACT1pro</t>
    <phoneticPr fontId="4"/>
  </si>
  <si>
    <t>Vector</t>
    <phoneticPr fontId="4"/>
  </si>
  <si>
    <t>moxFS</t>
    <phoneticPr fontId="4"/>
  </si>
  <si>
    <t>#1</t>
    <phoneticPr fontId="4"/>
  </si>
  <si>
    <t>#2</t>
  </si>
  <si>
    <t>#3</t>
  </si>
  <si>
    <t>#4</t>
  </si>
  <si>
    <t>average</t>
    <phoneticPr fontId="4"/>
  </si>
  <si>
    <t>std</t>
    <phoneticPr fontId="4"/>
  </si>
  <si>
    <t>TDH3pro</t>
    <phoneticPr fontId="4"/>
  </si>
  <si>
    <t>HXT7pro</t>
    <phoneticPr fontId="4"/>
  </si>
  <si>
    <t>PHO84pro</t>
    <phoneticPr fontId="4"/>
  </si>
  <si>
    <t>Vector</t>
  </si>
  <si>
    <t>ZPS1pro</t>
    <phoneticPr fontId="4"/>
  </si>
  <si>
    <t>AGP1pro</t>
    <phoneticPr fontId="4"/>
  </si>
  <si>
    <t>GAP1pro</t>
    <phoneticPr fontId="4"/>
  </si>
  <si>
    <t>OM14pro</t>
    <phoneticPr fontId="4"/>
  </si>
  <si>
    <t>Figure3_S2C</t>
    <phoneticPr fontId="1"/>
  </si>
  <si>
    <t>YAP5pro</t>
    <phoneticPr fontId="4"/>
  </si>
  <si>
    <t>OM45pro</t>
    <phoneticPr fontId="4"/>
  </si>
  <si>
    <t>FIT2pro</t>
    <phoneticPr fontId="4"/>
  </si>
  <si>
    <t>ADE17pro</t>
    <phoneticPr fontId="4"/>
  </si>
  <si>
    <t>CTR１pro</t>
    <phoneticPr fontId="4"/>
  </si>
  <si>
    <t>CUP１pro</t>
    <phoneticPr fontId="4"/>
  </si>
  <si>
    <t>HXT1pro</t>
    <phoneticPr fontId="4"/>
  </si>
  <si>
    <t>Ave_MFL_RFP/OD</t>
    <phoneticPr fontId="1"/>
  </si>
  <si>
    <t>ave_MGR</t>
  </si>
  <si>
    <t>Std_MFL_RFP/OD</t>
    <phoneticPr fontId="1"/>
  </si>
  <si>
    <t>std_MGR</t>
  </si>
  <si>
    <t>Vector</t>
    <phoneticPr fontId="1"/>
  </si>
  <si>
    <t>SC-U</t>
  </si>
  <si>
    <t>SC-LU</t>
    <phoneticPr fontId="1"/>
  </si>
  <si>
    <t>mox-YG</t>
    <phoneticPr fontId="1"/>
  </si>
  <si>
    <t>Figure3_S3B</t>
    <phoneticPr fontId="1"/>
  </si>
  <si>
    <t>mox-YG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</si>
</sst>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_);[Red]\(0.0\)"/>
    <numFmt numFmtId="178" formatCode="0.00_ "/>
  </numFmts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Yu Gothic"/>
      <family val="3"/>
      <charset val="128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3" fillId="0" borderId="2" xfId="0" applyFont="1" applyBorder="1" applyAlignment="1">
      <alignment horizontal="center" vertical="top"/>
    </xf>
    <xf numFmtId="0" fontId="0" fillId="0" borderId="0" xfId="0" applyAlignment="1"/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0" borderId="1" xfId="0" applyFont="1" applyBorder="1">
      <alignment vertical="center"/>
    </xf>
    <xf numFmtId="0" fontId="0" fillId="0" borderId="4" xfId="0" applyBorder="1">
      <alignment vertical="center"/>
    </xf>
    <xf numFmtId="176" fontId="0" fillId="0" borderId="0" xfId="0" applyNumberFormat="1">
      <alignment vertical="center"/>
    </xf>
    <xf numFmtId="0" fontId="0" fillId="0" borderId="4" xfId="0" quotePrefix="1" applyBorder="1">
      <alignment vertical="center"/>
    </xf>
    <xf numFmtId="176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0" fontId="0" fillId="0" borderId="0" xfId="0" quotePrefix="1">
      <alignment vertical="center"/>
    </xf>
    <xf numFmtId="176" fontId="0" fillId="0" borderId="0" xfId="0" applyNumberFormat="1" applyAlignment="1"/>
    <xf numFmtId="178" fontId="0" fillId="0" borderId="0" xfId="0" applyNumberFormat="1" applyAlignment="1"/>
    <xf numFmtId="178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C094C-AA5C-4841-86A5-B5BC07426AF8}">
  <dimension ref="A1:S31"/>
  <sheetViews>
    <sheetView tabSelected="1" topLeftCell="A5" workbookViewId="0">
      <selection activeCell="J34" sqref="J34"/>
    </sheetView>
  </sheetViews>
  <sheetFormatPr baseColWidth="10" defaultRowHeight="20"/>
  <cols>
    <col min="1" max="1" width="10.7109375" customWidth="1"/>
    <col min="2" max="2" width="13.5703125" bestFit="1" customWidth="1"/>
    <col min="3" max="3" width="15.42578125" bestFit="1" customWidth="1"/>
    <col min="4" max="5" width="12.7109375" bestFit="1" customWidth="1"/>
  </cols>
  <sheetData>
    <row r="1" spans="1:5">
      <c r="A1" t="s">
        <v>17</v>
      </c>
    </row>
    <row r="2" spans="1:5">
      <c r="A2" s="5" t="s">
        <v>16</v>
      </c>
      <c r="B2" s="5" t="s">
        <v>0</v>
      </c>
      <c r="C2" s="5" t="s">
        <v>1</v>
      </c>
      <c r="D2" s="5" t="s">
        <v>2</v>
      </c>
      <c r="E2" s="5" t="s">
        <v>3</v>
      </c>
    </row>
    <row r="3" spans="1:5">
      <c r="A3" s="1" t="s">
        <v>4</v>
      </c>
      <c r="B3" s="9">
        <v>0.45328418873277398</v>
      </c>
      <c r="C3" s="9">
        <v>2.7173381992225698</v>
      </c>
      <c r="D3" s="9">
        <v>0.523484400355405</v>
      </c>
      <c r="E3" s="9">
        <v>3.3348322066921799E-7</v>
      </c>
    </row>
    <row r="4" spans="1:5">
      <c r="A4" s="1" t="s">
        <v>5</v>
      </c>
      <c r="B4" s="9">
        <v>0.955005007751629</v>
      </c>
      <c r="C4" s="9">
        <v>0.78820683272703196</v>
      </c>
      <c r="D4" s="9">
        <v>1.3117597815453901E-3</v>
      </c>
      <c r="E4" s="9">
        <v>9.80621757921828E-3</v>
      </c>
    </row>
    <row r="5" spans="1:5">
      <c r="A5" s="1" t="s">
        <v>6</v>
      </c>
      <c r="B5" s="9">
        <v>0.79682234068799096</v>
      </c>
      <c r="C5" s="9">
        <v>1.24922009280744</v>
      </c>
      <c r="D5" s="9">
        <v>2.7106586042251499E-2</v>
      </c>
      <c r="E5" s="9">
        <v>1.5653508411467401E-4</v>
      </c>
    </row>
    <row r="6" spans="1:5">
      <c r="A6" s="1" t="s">
        <v>7</v>
      </c>
      <c r="B6" s="9">
        <v>-0.27407952349620501</v>
      </c>
      <c r="C6" s="9">
        <v>2.1700523323763998</v>
      </c>
      <c r="D6" s="9">
        <v>0.75488088789263397</v>
      </c>
      <c r="E6" s="9">
        <v>2.6494857283632599E-4</v>
      </c>
    </row>
    <row r="7" spans="1:5">
      <c r="A7" s="1" t="s">
        <v>8</v>
      </c>
      <c r="B7" s="9">
        <v>0.98122888631497096</v>
      </c>
      <c r="C7" s="9">
        <v>1.0200512526976599</v>
      </c>
      <c r="D7" s="9">
        <v>6.9259614639163702E-3</v>
      </c>
      <c r="E7" s="9">
        <v>4.1236230413208303E-3</v>
      </c>
    </row>
    <row r="8" spans="1:5">
      <c r="A8" s="1" t="s">
        <v>9</v>
      </c>
      <c r="B8" s="9">
        <v>0.84051917706007795</v>
      </c>
      <c r="C8" s="9">
        <v>0.89826078090775496</v>
      </c>
      <c r="D8" s="9">
        <v>1.6463286580621E-2</v>
      </c>
      <c r="E8" s="9">
        <v>7.8785007244512994E-3</v>
      </c>
    </row>
    <row r="9" spans="1:5">
      <c r="A9" s="1" t="s">
        <v>10</v>
      </c>
      <c r="B9" s="9">
        <v>-0.63231998091351305</v>
      </c>
      <c r="C9" s="9">
        <v>1.8693743740189299</v>
      </c>
      <c r="D9" s="9">
        <v>0.30931664697339101</v>
      </c>
      <c r="E9" s="9">
        <v>2.6574532099287498E-4</v>
      </c>
    </row>
    <row r="10" spans="1:5">
      <c r="A10" s="1" t="s">
        <v>11</v>
      </c>
      <c r="B10" s="9">
        <v>-0.41020248669579101</v>
      </c>
      <c r="C10" s="9">
        <v>2.73674578855932</v>
      </c>
      <c r="D10" s="9">
        <v>0.573771786856622</v>
      </c>
      <c r="E10" s="9">
        <v>3.0215193672603903E-7</v>
      </c>
    </row>
    <row r="11" spans="1:5">
      <c r="A11" s="1" t="s">
        <v>12</v>
      </c>
      <c r="B11" s="9">
        <v>-0.37057699182056097</v>
      </c>
      <c r="C11" s="9">
        <v>2.1255715122237602</v>
      </c>
      <c r="D11" s="9">
        <v>0.45186514643480302</v>
      </c>
      <c r="E11" s="9">
        <v>6.2834082900935702E-9</v>
      </c>
    </row>
    <row r="12" spans="1:5">
      <c r="A12" s="1" t="s">
        <v>13</v>
      </c>
      <c r="B12" s="9">
        <v>0.120680507590324</v>
      </c>
      <c r="C12" s="9">
        <v>-2.9054514350824001</v>
      </c>
      <c r="D12" s="9">
        <v>0.82214953176253802</v>
      </c>
      <c r="E12" s="9">
        <v>2.5456474920980102E-21</v>
      </c>
    </row>
    <row r="13" spans="1:5">
      <c r="A13" s="1" t="s">
        <v>14</v>
      </c>
      <c r="B13" s="9">
        <v>0.15672558554812699</v>
      </c>
      <c r="C13" s="9">
        <v>-1.4314741756517499</v>
      </c>
      <c r="D13" s="9">
        <v>0.87178739275898098</v>
      </c>
      <c r="E13" s="9">
        <v>1.04210862906463E-2</v>
      </c>
    </row>
    <row r="14" spans="1:5">
      <c r="A14" s="1" t="s">
        <v>15</v>
      </c>
      <c r="B14" s="9">
        <v>0.27539199258139202</v>
      </c>
      <c r="C14" s="9">
        <v>-1.3811441821013299</v>
      </c>
      <c r="D14" s="9">
        <v>0.72874793828625695</v>
      </c>
      <c r="E14" s="9">
        <v>1.44013498622074E-2</v>
      </c>
    </row>
    <row r="15" spans="1:5" s="2" customFormat="1"/>
    <row r="16" spans="1:5">
      <c r="A16" t="s">
        <v>18</v>
      </c>
    </row>
    <row r="17" spans="1:19">
      <c r="A17" s="3" t="s">
        <v>19</v>
      </c>
      <c r="B17" s="4" t="s">
        <v>20</v>
      </c>
      <c r="C17" s="4" t="s">
        <v>53</v>
      </c>
      <c r="D17" s="4" t="s">
        <v>21</v>
      </c>
      <c r="E17" s="4"/>
      <c r="F17" s="3" t="s">
        <v>28</v>
      </c>
      <c r="G17" s="4" t="s">
        <v>20</v>
      </c>
      <c r="H17" s="4" t="s">
        <v>53</v>
      </c>
      <c r="I17" s="4" t="s">
        <v>21</v>
      </c>
      <c r="J17" s="4"/>
      <c r="K17" s="3" t="s">
        <v>30</v>
      </c>
      <c r="L17" s="4" t="s">
        <v>31</v>
      </c>
      <c r="M17" s="4" t="s">
        <v>53</v>
      </c>
      <c r="N17" s="4" t="s">
        <v>21</v>
      </c>
      <c r="O17" s="4"/>
      <c r="P17" s="3" t="s">
        <v>32</v>
      </c>
      <c r="Q17" s="4" t="s">
        <v>31</v>
      </c>
      <c r="R17" s="4" t="s">
        <v>53</v>
      </c>
      <c r="S17" s="4" t="s">
        <v>21</v>
      </c>
    </row>
    <row r="18" spans="1:19">
      <c r="A18" s="4" t="s">
        <v>22</v>
      </c>
      <c r="B18" s="4">
        <v>8572</v>
      </c>
      <c r="C18" s="4">
        <v>8152</v>
      </c>
      <c r="D18" s="4">
        <v>9226</v>
      </c>
      <c r="E18" s="4"/>
      <c r="F18" s="4" t="s">
        <v>22</v>
      </c>
      <c r="G18" s="4">
        <v>15354</v>
      </c>
      <c r="H18" s="4">
        <v>10005</v>
      </c>
      <c r="I18" s="4">
        <v>7235</v>
      </c>
      <c r="J18" s="4"/>
      <c r="K18" s="4" t="s">
        <v>22</v>
      </c>
      <c r="L18" s="4">
        <v>1168</v>
      </c>
      <c r="M18" s="4">
        <v>866</v>
      </c>
      <c r="N18" s="4">
        <v>1338</v>
      </c>
      <c r="O18" s="4"/>
      <c r="P18" s="4" t="s">
        <v>22</v>
      </c>
      <c r="Q18" s="4">
        <v>1012</v>
      </c>
      <c r="R18" s="4">
        <v>699</v>
      </c>
      <c r="S18" s="4">
        <v>1106</v>
      </c>
    </row>
    <row r="19" spans="1:19">
      <c r="A19" s="4" t="s">
        <v>23</v>
      </c>
      <c r="B19" s="4">
        <v>8633</v>
      </c>
      <c r="C19" s="4">
        <v>8736</v>
      </c>
      <c r="D19" s="4">
        <v>9462</v>
      </c>
      <c r="E19" s="4"/>
      <c r="F19" s="4" t="s">
        <v>23</v>
      </c>
      <c r="G19" s="4">
        <v>14004</v>
      </c>
      <c r="H19" s="4">
        <v>10086</v>
      </c>
      <c r="I19" s="4">
        <v>7806</v>
      </c>
      <c r="J19" s="4"/>
      <c r="K19" s="4" t="s">
        <v>23</v>
      </c>
      <c r="L19" s="4">
        <v>1429</v>
      </c>
      <c r="M19" s="4">
        <v>881</v>
      </c>
      <c r="N19" s="4">
        <v>1281</v>
      </c>
      <c r="O19" s="4"/>
      <c r="P19" s="4" t="s">
        <v>23</v>
      </c>
      <c r="Q19" s="4">
        <v>1416</v>
      </c>
      <c r="R19" s="4">
        <v>724</v>
      </c>
      <c r="S19" s="4">
        <v>1450</v>
      </c>
    </row>
    <row r="20" spans="1:19">
      <c r="A20" s="4" t="s">
        <v>24</v>
      </c>
      <c r="B20" s="4">
        <v>8205</v>
      </c>
      <c r="C20" s="4">
        <v>8485</v>
      </c>
      <c r="D20" s="4">
        <v>9976</v>
      </c>
      <c r="E20" s="4"/>
      <c r="F20" s="4" t="s">
        <v>24</v>
      </c>
      <c r="G20" s="4">
        <v>14885</v>
      </c>
      <c r="H20" s="4">
        <v>11010</v>
      </c>
      <c r="I20" s="4">
        <v>9489</v>
      </c>
      <c r="J20" s="4"/>
      <c r="K20" s="4" t="s">
        <v>24</v>
      </c>
      <c r="L20" s="4">
        <v>1917</v>
      </c>
      <c r="M20" s="4">
        <v>956</v>
      </c>
      <c r="N20" s="4">
        <v>1418</v>
      </c>
      <c r="O20" s="4"/>
      <c r="P20" s="4" t="s">
        <v>24</v>
      </c>
      <c r="Q20" s="4">
        <v>1568</v>
      </c>
      <c r="R20" s="4">
        <v>737</v>
      </c>
      <c r="S20" s="4">
        <v>1438</v>
      </c>
    </row>
    <row r="21" spans="1:19">
      <c r="A21" s="4" t="s">
        <v>25</v>
      </c>
      <c r="B21" s="4">
        <v>8595</v>
      </c>
      <c r="C21" s="4">
        <v>8486</v>
      </c>
      <c r="D21" s="4">
        <v>9131</v>
      </c>
      <c r="E21" s="4"/>
      <c r="F21" s="4" t="s">
        <v>25</v>
      </c>
      <c r="G21" s="4">
        <v>12668</v>
      </c>
      <c r="H21" s="4">
        <v>9874</v>
      </c>
      <c r="I21" s="4">
        <v>8891</v>
      </c>
      <c r="J21" s="4"/>
      <c r="K21" s="4" t="s">
        <v>25</v>
      </c>
      <c r="L21" s="4">
        <v>1881</v>
      </c>
      <c r="M21" s="4">
        <v>956</v>
      </c>
      <c r="N21" s="4"/>
      <c r="O21" s="4"/>
      <c r="P21" s="4" t="s">
        <v>25</v>
      </c>
      <c r="Q21" s="4">
        <v>1688</v>
      </c>
      <c r="R21" s="4">
        <v>811</v>
      </c>
      <c r="S21" s="4">
        <v>1569</v>
      </c>
    </row>
    <row r="22" spans="1:19">
      <c r="A22" s="4" t="s">
        <v>26</v>
      </c>
      <c r="B22" s="14">
        <f>AVERAGE(B18:B21)</f>
        <v>8501.25</v>
      </c>
      <c r="C22" s="14">
        <f t="shared" ref="C22:D22" si="0">AVERAGE(C18:C21)</f>
        <v>8464.75</v>
      </c>
      <c r="D22" s="14">
        <f t="shared" si="0"/>
        <v>9448.75</v>
      </c>
      <c r="E22" s="4"/>
      <c r="F22" s="4" t="s">
        <v>26</v>
      </c>
      <c r="G22" s="14">
        <f>AVERAGE(G18:G21)</f>
        <v>14227.75</v>
      </c>
      <c r="H22" s="14">
        <f t="shared" ref="H22:I22" si="1">AVERAGE(H18:H21)</f>
        <v>10243.75</v>
      </c>
      <c r="I22" s="14">
        <f t="shared" si="1"/>
        <v>8355.25</v>
      </c>
      <c r="J22" s="4"/>
      <c r="K22" s="4" t="s">
        <v>26</v>
      </c>
      <c r="L22" s="14">
        <f>AVERAGE(L18:L21)</f>
        <v>1598.75</v>
      </c>
      <c r="M22" s="14">
        <f t="shared" ref="M22:N22" si="2">AVERAGE(M18:M21)</f>
        <v>914.75</v>
      </c>
      <c r="N22" s="14">
        <f t="shared" si="2"/>
        <v>1345.6666666666667</v>
      </c>
      <c r="O22" s="4"/>
      <c r="P22" s="4" t="s">
        <v>26</v>
      </c>
      <c r="Q22" s="14">
        <f>AVERAGE(Q18:Q21)</f>
        <v>1421</v>
      </c>
      <c r="R22" s="14">
        <f t="shared" ref="R22:S22" si="3">AVERAGE(R18:R21)</f>
        <v>742.75</v>
      </c>
      <c r="S22" s="14">
        <f t="shared" si="3"/>
        <v>1390.75</v>
      </c>
    </row>
    <row r="23" spans="1:19">
      <c r="A23" s="4" t="s">
        <v>27</v>
      </c>
      <c r="B23" s="14">
        <f>STDEV(B18:B21)</f>
        <v>199.09524521360791</v>
      </c>
      <c r="C23" s="14">
        <f t="shared" ref="C23:D23" si="4">STDEV(C18:C21)</f>
        <v>239.61827281463044</v>
      </c>
      <c r="D23" s="14">
        <f t="shared" si="4"/>
        <v>378.04353805701618</v>
      </c>
      <c r="E23" s="4"/>
      <c r="F23" s="4" t="s">
        <v>27</v>
      </c>
      <c r="G23" s="14">
        <f>STDEV(G18:G21)</f>
        <v>1180.8613734614801</v>
      </c>
      <c r="H23" s="14">
        <f t="shared" ref="H23:I23" si="5">STDEV(H18:H21)</f>
        <v>518.24728653414093</v>
      </c>
      <c r="I23" s="14">
        <f t="shared" si="5"/>
        <v>1021.2823230298924</v>
      </c>
      <c r="J23" s="4"/>
      <c r="K23" s="4" t="s">
        <v>27</v>
      </c>
      <c r="L23" s="14">
        <f>STDEV(L18:L21)</f>
        <v>363.00080348855062</v>
      </c>
      <c r="M23" s="14">
        <f t="shared" ref="M23:N23" si="6">STDEV(M18:M21)</f>
        <v>48.023431780746364</v>
      </c>
      <c r="N23" s="14">
        <f t="shared" si="6"/>
        <v>68.821023919535904</v>
      </c>
      <c r="O23" s="4"/>
      <c r="P23" s="4" t="s">
        <v>27</v>
      </c>
      <c r="Q23" s="14">
        <f>STDEV(Q18:Q21)</f>
        <v>294.5074984897102</v>
      </c>
      <c r="R23" s="14">
        <f t="shared" ref="R23:S23" si="7">STDEV(R18:R21)</f>
        <v>48.155131259987925</v>
      </c>
      <c r="S23" s="14">
        <f t="shared" si="7"/>
        <v>198.82886276058278</v>
      </c>
    </row>
    <row r="25" spans="1:19">
      <c r="A25" s="3" t="s">
        <v>29</v>
      </c>
      <c r="B25" s="4" t="s">
        <v>20</v>
      </c>
      <c r="C25" s="4" t="s">
        <v>53</v>
      </c>
      <c r="D25" s="4" t="s">
        <v>21</v>
      </c>
      <c r="E25" s="4"/>
      <c r="F25" s="3" t="s">
        <v>33</v>
      </c>
      <c r="G25" s="4" t="s">
        <v>20</v>
      </c>
      <c r="H25" s="4" t="s">
        <v>53</v>
      </c>
      <c r="I25" s="4" t="s">
        <v>21</v>
      </c>
      <c r="J25" s="4"/>
      <c r="K25" s="3" t="s">
        <v>34</v>
      </c>
      <c r="L25" s="4" t="s">
        <v>20</v>
      </c>
      <c r="M25" s="4" t="s">
        <v>53</v>
      </c>
      <c r="N25" s="4" t="s">
        <v>21</v>
      </c>
      <c r="O25" s="4"/>
      <c r="P25" s="3" t="s">
        <v>35</v>
      </c>
      <c r="Q25" s="4" t="s">
        <v>31</v>
      </c>
      <c r="R25" s="4" t="s">
        <v>53</v>
      </c>
      <c r="S25" s="4" t="s">
        <v>21</v>
      </c>
    </row>
    <row r="26" spans="1:19">
      <c r="A26" s="4" t="s">
        <v>22</v>
      </c>
      <c r="B26" s="4">
        <v>1131</v>
      </c>
      <c r="C26" s="4">
        <v>895</v>
      </c>
      <c r="D26" s="4">
        <v>1173</v>
      </c>
      <c r="E26" s="4"/>
      <c r="F26" s="4" t="s">
        <v>22</v>
      </c>
      <c r="G26" s="4">
        <v>1454</v>
      </c>
      <c r="H26" s="4">
        <v>3040</v>
      </c>
      <c r="I26" s="4">
        <v>1527</v>
      </c>
      <c r="J26" s="4"/>
      <c r="K26" s="4" t="s">
        <v>22</v>
      </c>
      <c r="L26" s="4">
        <v>599</v>
      </c>
      <c r="M26" s="4">
        <v>1690</v>
      </c>
      <c r="N26" s="4">
        <v>566</v>
      </c>
      <c r="O26" s="4"/>
      <c r="P26" s="4" t="s">
        <v>22</v>
      </c>
      <c r="Q26" s="4">
        <v>1790</v>
      </c>
      <c r="R26" s="4">
        <v>2636</v>
      </c>
      <c r="S26" s="4">
        <v>2010</v>
      </c>
    </row>
    <row r="27" spans="1:19">
      <c r="A27" s="4" t="s">
        <v>23</v>
      </c>
      <c r="B27" s="4">
        <v>1206</v>
      </c>
      <c r="C27" s="4">
        <v>882</v>
      </c>
      <c r="D27" s="4">
        <v>1160</v>
      </c>
      <c r="E27" s="4"/>
      <c r="F27" s="4" t="s">
        <v>23</v>
      </c>
      <c r="G27" s="4">
        <v>1610</v>
      </c>
      <c r="H27" s="4">
        <v>3265</v>
      </c>
      <c r="I27" s="4">
        <v>1527</v>
      </c>
      <c r="J27" s="4"/>
      <c r="K27" s="4" t="s">
        <v>23</v>
      </c>
      <c r="L27" s="4">
        <v>632</v>
      </c>
      <c r="M27" s="4">
        <v>1777</v>
      </c>
      <c r="N27" s="4">
        <v>620</v>
      </c>
      <c r="O27" s="4"/>
      <c r="P27" s="4" t="s">
        <v>23</v>
      </c>
      <c r="Q27" s="4">
        <v>1955</v>
      </c>
      <c r="R27" s="4">
        <v>2620</v>
      </c>
      <c r="S27" s="4">
        <v>2274</v>
      </c>
    </row>
    <row r="28" spans="1:19">
      <c r="A28" s="4" t="s">
        <v>24</v>
      </c>
      <c r="B28" s="4">
        <v>1202</v>
      </c>
      <c r="C28" s="4">
        <v>823</v>
      </c>
      <c r="D28" s="4">
        <v>1159</v>
      </c>
      <c r="E28" s="4"/>
      <c r="F28" s="4" t="s">
        <v>24</v>
      </c>
      <c r="G28" s="4">
        <v>1643</v>
      </c>
      <c r="H28" s="4">
        <v>3209</v>
      </c>
      <c r="I28" s="4">
        <v>1568</v>
      </c>
      <c r="J28" s="4"/>
      <c r="K28" s="4" t="s">
        <v>24</v>
      </c>
      <c r="L28" s="4">
        <v>623</v>
      </c>
      <c r="M28" s="4">
        <v>1982</v>
      </c>
      <c r="N28" s="4">
        <v>609</v>
      </c>
      <c r="O28" s="4"/>
      <c r="P28" s="4" t="s">
        <v>24</v>
      </c>
      <c r="Q28" s="4">
        <v>1967</v>
      </c>
      <c r="R28" s="4">
        <v>2605</v>
      </c>
      <c r="S28" s="4">
        <v>2270</v>
      </c>
    </row>
    <row r="29" spans="1:19">
      <c r="A29" s="4" t="s">
        <v>25</v>
      </c>
      <c r="B29" s="4">
        <v>1199</v>
      </c>
      <c r="C29" s="4">
        <v>880</v>
      </c>
      <c r="D29" s="4">
        <v>1087</v>
      </c>
      <c r="E29" s="4"/>
      <c r="F29" s="4" t="s">
        <v>25</v>
      </c>
      <c r="G29" s="4">
        <v>1534</v>
      </c>
      <c r="H29" s="4">
        <v>3372</v>
      </c>
      <c r="I29" s="4">
        <v>1506</v>
      </c>
      <c r="J29" s="4"/>
      <c r="K29" s="4" t="s">
        <v>25</v>
      </c>
      <c r="L29" s="4">
        <v>602</v>
      </c>
      <c r="M29" s="4">
        <v>2032</v>
      </c>
      <c r="N29" s="4">
        <v>605</v>
      </c>
      <c r="O29" s="4"/>
      <c r="P29" s="4" t="s">
        <v>25</v>
      </c>
      <c r="Q29" s="4">
        <v>1973</v>
      </c>
      <c r="R29" s="4">
        <v>2930</v>
      </c>
      <c r="S29" s="4">
        <v>1944</v>
      </c>
    </row>
    <row r="30" spans="1:19">
      <c r="A30" s="4" t="s">
        <v>26</v>
      </c>
      <c r="B30" s="14">
        <f>AVERAGE(B26:B29)</f>
        <v>1184.5</v>
      </c>
      <c r="C30" s="14">
        <f t="shared" ref="C30" si="8">AVERAGE(C26:C29)</f>
        <v>870</v>
      </c>
      <c r="D30" s="14">
        <f>AVERAGE(D26:D29)</f>
        <v>1144.75</v>
      </c>
      <c r="E30" s="4"/>
      <c r="F30" s="4" t="s">
        <v>26</v>
      </c>
      <c r="G30" s="14">
        <f>AVERAGE(G26:G29)</f>
        <v>1560.25</v>
      </c>
      <c r="H30" s="14">
        <f t="shared" ref="H30:I30" si="9">AVERAGE(H26:H29)</f>
        <v>3221.5</v>
      </c>
      <c r="I30" s="14">
        <f t="shared" si="9"/>
        <v>1532</v>
      </c>
      <c r="J30" s="4"/>
      <c r="K30" s="4" t="s">
        <v>26</v>
      </c>
      <c r="L30" s="14">
        <f>AVERAGE(L26:L29)</f>
        <v>614</v>
      </c>
      <c r="M30" s="14">
        <f t="shared" ref="M30:N30" si="10">AVERAGE(M26:M29)</f>
        <v>1870.25</v>
      </c>
      <c r="N30" s="14">
        <f t="shared" si="10"/>
        <v>600</v>
      </c>
      <c r="O30" s="4"/>
      <c r="P30" s="4" t="s">
        <v>26</v>
      </c>
      <c r="Q30" s="14">
        <f>AVERAGE(Q26:Q29)</f>
        <v>1921.25</v>
      </c>
      <c r="R30" s="14">
        <f t="shared" ref="R30:S30" si="11">AVERAGE(R26:R29)</f>
        <v>2697.75</v>
      </c>
      <c r="S30" s="14">
        <f t="shared" si="11"/>
        <v>2124.5</v>
      </c>
    </row>
    <row r="31" spans="1:19">
      <c r="A31" s="4" t="s">
        <v>27</v>
      </c>
      <c r="B31" s="14">
        <f>STDEV(B27:B29)</f>
        <v>3.5118845842842465</v>
      </c>
      <c r="C31" s="14">
        <f>STDEV(C27:C30)</f>
        <v>27.669176592976765</v>
      </c>
      <c r="D31" s="14">
        <f>STDEV(D27:D30)</f>
        <v>34.50203798328441</v>
      </c>
      <c r="E31" s="4"/>
      <c r="F31" s="4" t="s">
        <v>27</v>
      </c>
      <c r="G31" s="14">
        <f>STDEV(G26:G29)</f>
        <v>84.262981195777783</v>
      </c>
      <c r="H31" s="14">
        <f t="shared" ref="H31:I31" si="12">STDEV(H26:H29)</f>
        <v>138.61337116839294</v>
      </c>
      <c r="I31" s="14">
        <f t="shared" si="12"/>
        <v>25.96150997149434</v>
      </c>
      <c r="J31" s="4"/>
      <c r="K31" s="4" t="s">
        <v>27</v>
      </c>
      <c r="L31" s="14">
        <f>STDEV(L26:L29)</f>
        <v>16.06237840420901</v>
      </c>
      <c r="M31" s="14">
        <f t="shared" ref="M31:N31" si="13">STDEV(M26:M29)</f>
        <v>163.13261476479803</v>
      </c>
      <c r="N31" s="14">
        <f t="shared" si="13"/>
        <v>23.53720459187964</v>
      </c>
      <c r="O31" s="4"/>
      <c r="P31" s="4" t="s">
        <v>27</v>
      </c>
      <c r="Q31" s="14">
        <f>STDEV(Q26:Q29)</f>
        <v>87.819416987361052</v>
      </c>
      <c r="R31" s="14">
        <f t="shared" ref="R31:S31" si="14">STDEV(R26:R29)</f>
        <v>155.34987394051316</v>
      </c>
      <c r="S31" s="14">
        <f t="shared" si="14"/>
        <v>172.4441938715247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F417-AB92-A34E-B29E-F0F346B823A5}">
  <dimension ref="A1:X26"/>
  <sheetViews>
    <sheetView workbookViewId="0">
      <selection activeCell="C2" sqref="C2"/>
    </sheetView>
  </sheetViews>
  <sheetFormatPr baseColWidth="10" defaultRowHeight="20"/>
  <cols>
    <col min="1" max="1" width="11.85546875" bestFit="1" customWidth="1"/>
  </cols>
  <sheetData>
    <row r="1" spans="1:24">
      <c r="A1" t="s">
        <v>36</v>
      </c>
    </row>
    <row r="2" spans="1:24">
      <c r="A2" s="3" t="s">
        <v>19</v>
      </c>
      <c r="B2" s="4" t="s">
        <v>20</v>
      </c>
      <c r="C2" s="4" t="s">
        <v>53</v>
      </c>
      <c r="D2" s="4" t="s">
        <v>21</v>
      </c>
      <c r="E2" s="4"/>
      <c r="F2" s="3" t="s">
        <v>28</v>
      </c>
      <c r="G2" s="4" t="s">
        <v>20</v>
      </c>
      <c r="H2" s="4" t="s">
        <v>53</v>
      </c>
      <c r="I2" s="4" t="s">
        <v>21</v>
      </c>
      <c r="J2" s="4"/>
      <c r="K2" s="3" t="s">
        <v>37</v>
      </c>
      <c r="L2" s="4" t="s">
        <v>31</v>
      </c>
      <c r="M2" s="4" t="s">
        <v>53</v>
      </c>
      <c r="N2" s="4" t="s">
        <v>21</v>
      </c>
      <c r="O2" s="4"/>
      <c r="P2" s="3" t="s">
        <v>30</v>
      </c>
      <c r="Q2" s="4" t="s">
        <v>31</v>
      </c>
      <c r="R2" s="4" t="s">
        <v>53</v>
      </c>
      <c r="S2" s="4" t="s">
        <v>21</v>
      </c>
      <c r="T2" s="4"/>
      <c r="U2" s="3" t="s">
        <v>32</v>
      </c>
      <c r="V2" s="4" t="s">
        <v>31</v>
      </c>
      <c r="W2" s="4" t="s">
        <v>53</v>
      </c>
      <c r="X2" s="4" t="s">
        <v>21</v>
      </c>
    </row>
    <row r="3" spans="1:24">
      <c r="A3" s="4" t="s">
        <v>22</v>
      </c>
      <c r="B3" s="4">
        <v>8572</v>
      </c>
      <c r="C3" s="4">
        <v>8152</v>
      </c>
      <c r="D3" s="4">
        <v>9226</v>
      </c>
      <c r="E3" s="4"/>
      <c r="F3" s="4" t="s">
        <v>22</v>
      </c>
      <c r="G3" s="4">
        <v>15354</v>
      </c>
      <c r="H3" s="4">
        <v>10005</v>
      </c>
      <c r="I3" s="4">
        <v>7235</v>
      </c>
      <c r="J3" s="4"/>
      <c r="K3" s="4" t="s">
        <v>22</v>
      </c>
      <c r="L3" s="4">
        <v>2351</v>
      </c>
      <c r="M3" s="4">
        <v>2501</v>
      </c>
      <c r="N3" s="4">
        <v>2675</v>
      </c>
      <c r="O3" s="4"/>
      <c r="P3" s="4" t="s">
        <v>22</v>
      </c>
      <c r="Q3" s="4">
        <v>1168</v>
      </c>
      <c r="R3" s="4">
        <v>866</v>
      </c>
      <c r="S3" s="4">
        <v>1338</v>
      </c>
      <c r="T3" s="4"/>
      <c r="U3" s="4" t="s">
        <v>22</v>
      </c>
      <c r="V3" s="4">
        <v>1012</v>
      </c>
      <c r="W3" s="4">
        <v>699</v>
      </c>
      <c r="X3" s="4">
        <v>1106</v>
      </c>
    </row>
    <row r="4" spans="1:24">
      <c r="A4" s="4" t="s">
        <v>23</v>
      </c>
      <c r="B4" s="4">
        <v>8633</v>
      </c>
      <c r="C4" s="4">
        <v>8736</v>
      </c>
      <c r="D4" s="4">
        <v>9462</v>
      </c>
      <c r="E4" s="4"/>
      <c r="F4" s="4" t="s">
        <v>23</v>
      </c>
      <c r="G4" s="4">
        <v>14004</v>
      </c>
      <c r="H4" s="4">
        <v>10086</v>
      </c>
      <c r="I4" s="4">
        <v>7806</v>
      </c>
      <c r="J4" s="4"/>
      <c r="K4" s="4" t="s">
        <v>23</v>
      </c>
      <c r="L4" s="4">
        <v>2653</v>
      </c>
      <c r="M4" s="4">
        <v>2210</v>
      </c>
      <c r="N4" s="4">
        <v>2602</v>
      </c>
      <c r="O4" s="4"/>
      <c r="P4" s="4" t="s">
        <v>23</v>
      </c>
      <c r="Q4" s="4">
        <v>1429</v>
      </c>
      <c r="R4" s="4">
        <v>881</v>
      </c>
      <c r="S4" s="4">
        <v>1281</v>
      </c>
      <c r="T4" s="4"/>
      <c r="U4" s="4" t="s">
        <v>23</v>
      </c>
      <c r="V4" s="4">
        <v>1416</v>
      </c>
      <c r="W4" s="4">
        <v>724</v>
      </c>
      <c r="X4" s="4">
        <v>1450</v>
      </c>
    </row>
    <row r="5" spans="1:24">
      <c r="A5" s="4" t="s">
        <v>24</v>
      </c>
      <c r="B5" s="4">
        <v>8205</v>
      </c>
      <c r="C5" s="4">
        <v>8485</v>
      </c>
      <c r="D5" s="4">
        <v>9976</v>
      </c>
      <c r="E5" s="4"/>
      <c r="F5" s="4" t="s">
        <v>24</v>
      </c>
      <c r="G5" s="4">
        <v>14885</v>
      </c>
      <c r="H5" s="4">
        <v>11010</v>
      </c>
      <c r="I5" s="4">
        <v>9489</v>
      </c>
      <c r="J5" s="4"/>
      <c r="K5" s="4" t="s">
        <v>24</v>
      </c>
      <c r="L5" s="4">
        <v>2903</v>
      </c>
      <c r="M5" s="4">
        <v>2313</v>
      </c>
      <c r="N5" s="4">
        <v>2382</v>
      </c>
      <c r="O5" s="4"/>
      <c r="P5" s="4" t="s">
        <v>24</v>
      </c>
      <c r="Q5" s="4">
        <v>1917</v>
      </c>
      <c r="R5" s="4">
        <v>956</v>
      </c>
      <c r="S5" s="4">
        <v>1418</v>
      </c>
      <c r="T5" s="4"/>
      <c r="U5" s="4" t="s">
        <v>24</v>
      </c>
      <c r="V5" s="4">
        <v>1568</v>
      </c>
      <c r="W5" s="4">
        <v>737</v>
      </c>
      <c r="X5" s="4">
        <v>1438</v>
      </c>
    </row>
    <row r="6" spans="1:24">
      <c r="A6" s="4" t="s">
        <v>25</v>
      </c>
      <c r="B6" s="4">
        <v>8595</v>
      </c>
      <c r="C6" s="4">
        <v>8486</v>
      </c>
      <c r="D6" s="4">
        <v>9131</v>
      </c>
      <c r="E6" s="4"/>
      <c r="F6" s="4" t="s">
        <v>25</v>
      </c>
      <c r="G6" s="4">
        <v>12668</v>
      </c>
      <c r="H6" s="4">
        <v>9874</v>
      </c>
      <c r="I6" s="4">
        <v>8891</v>
      </c>
      <c r="J6" s="4"/>
      <c r="K6" s="4" t="s">
        <v>25</v>
      </c>
      <c r="L6" s="4">
        <v>2550</v>
      </c>
      <c r="M6" s="4">
        <v>2345</v>
      </c>
      <c r="N6" s="4">
        <v>2576</v>
      </c>
      <c r="O6" s="4"/>
      <c r="P6" s="4" t="s">
        <v>25</v>
      </c>
      <c r="Q6" s="4">
        <v>1881</v>
      </c>
      <c r="R6" s="4">
        <v>956</v>
      </c>
      <c r="S6" s="4"/>
      <c r="T6" s="4"/>
      <c r="U6" s="4" t="s">
        <v>25</v>
      </c>
      <c r="V6" s="4">
        <v>1688</v>
      </c>
      <c r="W6" s="4">
        <v>811</v>
      </c>
      <c r="X6" s="4">
        <v>1569</v>
      </c>
    </row>
    <row r="7" spans="1:24" s="16" customFormat="1">
      <c r="A7" s="15" t="s">
        <v>26</v>
      </c>
      <c r="B7" s="15">
        <f>AVERAGE(B3:B6)</f>
        <v>8501.25</v>
      </c>
      <c r="C7" s="15">
        <f t="shared" ref="C7:D7" si="0">AVERAGE(C3:C6)</f>
        <v>8464.75</v>
      </c>
      <c r="D7" s="15">
        <f t="shared" si="0"/>
        <v>9448.75</v>
      </c>
      <c r="E7" s="15"/>
      <c r="F7" s="15" t="s">
        <v>26</v>
      </c>
      <c r="G7" s="15">
        <f>AVERAGE(G3:G6)</f>
        <v>14227.75</v>
      </c>
      <c r="H7" s="15">
        <f t="shared" ref="H7:I7" si="1">AVERAGE(H3:H6)</f>
        <v>10243.75</v>
      </c>
      <c r="I7" s="15">
        <f t="shared" si="1"/>
        <v>8355.25</v>
      </c>
      <c r="J7" s="15"/>
      <c r="K7" s="15" t="s">
        <v>26</v>
      </c>
      <c r="L7" s="15">
        <f>AVERAGE(L3:L6)</f>
        <v>2614.25</v>
      </c>
      <c r="M7" s="15">
        <f t="shared" ref="M7:N7" si="2">AVERAGE(M3:M6)</f>
        <v>2342.25</v>
      </c>
      <c r="N7" s="15">
        <f t="shared" si="2"/>
        <v>2558.75</v>
      </c>
      <c r="O7" s="15"/>
      <c r="P7" s="15" t="s">
        <v>26</v>
      </c>
      <c r="Q7" s="15">
        <f>AVERAGE(Q3:Q6)</f>
        <v>1598.75</v>
      </c>
      <c r="R7" s="15">
        <f t="shared" ref="R7:S7" si="3">AVERAGE(R3:R6)</f>
        <v>914.75</v>
      </c>
      <c r="S7" s="15">
        <f t="shared" si="3"/>
        <v>1345.6666666666667</v>
      </c>
      <c r="T7" s="15"/>
      <c r="U7" s="15" t="s">
        <v>26</v>
      </c>
      <c r="V7" s="15">
        <f>AVERAGE(V3:V6)</f>
        <v>1421</v>
      </c>
      <c r="W7" s="15">
        <f t="shared" ref="W7:X7" si="4">AVERAGE(W3:W6)</f>
        <v>742.75</v>
      </c>
      <c r="X7" s="15">
        <f t="shared" si="4"/>
        <v>1390.75</v>
      </c>
    </row>
    <row r="8" spans="1:24" s="16" customFormat="1">
      <c r="A8" s="15" t="s">
        <v>27</v>
      </c>
      <c r="B8" s="15">
        <f>STDEV(B3:B6)</f>
        <v>199.09524521360791</v>
      </c>
      <c r="C8" s="15">
        <f t="shared" ref="C8:D8" si="5">STDEV(C3:C6)</f>
        <v>239.61827281463044</v>
      </c>
      <c r="D8" s="15">
        <f t="shared" si="5"/>
        <v>378.04353805701618</v>
      </c>
      <c r="E8" s="15"/>
      <c r="F8" s="15" t="s">
        <v>27</v>
      </c>
      <c r="G8" s="15">
        <f>STDEV(G3:G6)</f>
        <v>1180.8613734614801</v>
      </c>
      <c r="H8" s="15">
        <f t="shared" ref="H8:I8" si="6">STDEV(H3:H6)</f>
        <v>518.24728653414093</v>
      </c>
      <c r="I8" s="15">
        <f t="shared" si="6"/>
        <v>1021.2823230298924</v>
      </c>
      <c r="J8" s="15"/>
      <c r="K8" s="15" t="s">
        <v>27</v>
      </c>
      <c r="L8" s="15">
        <f>STDEV(L3:L6)</f>
        <v>229.7148594816336</v>
      </c>
      <c r="M8" s="15">
        <f t="shared" ref="M8:N8" si="7">STDEV(M3:M6)</f>
        <v>120.49170095902871</v>
      </c>
      <c r="N8" s="15">
        <f t="shared" si="7"/>
        <v>125.06365046114185</v>
      </c>
      <c r="O8" s="15"/>
      <c r="P8" s="15" t="s">
        <v>27</v>
      </c>
      <c r="Q8" s="15">
        <f>STDEV(Q3:Q6)</f>
        <v>363.00080348855062</v>
      </c>
      <c r="R8" s="15">
        <f t="shared" ref="R8:S8" si="8">STDEV(R3:R6)</f>
        <v>48.023431780746364</v>
      </c>
      <c r="S8" s="15">
        <f t="shared" si="8"/>
        <v>68.821023919535904</v>
      </c>
      <c r="T8" s="15"/>
      <c r="U8" s="15" t="s">
        <v>27</v>
      </c>
      <c r="V8" s="15">
        <f>STDEV(V3:V6)</f>
        <v>294.5074984897102</v>
      </c>
      <c r="W8" s="15">
        <f t="shared" ref="W8:X8" si="9">STDEV(W3:W6)</f>
        <v>48.155131259987925</v>
      </c>
      <c r="X8" s="15">
        <f t="shared" si="9"/>
        <v>198.82886276058278</v>
      </c>
    </row>
    <row r="9" spans="1:24"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1" spans="1:24">
      <c r="A11" s="3" t="s">
        <v>40</v>
      </c>
      <c r="B11" s="4" t="s">
        <v>20</v>
      </c>
      <c r="C11" s="4" t="s">
        <v>53</v>
      </c>
      <c r="D11" s="4" t="s">
        <v>21</v>
      </c>
      <c r="E11" s="4"/>
      <c r="F11" s="3" t="s">
        <v>41</v>
      </c>
      <c r="G11" s="4" t="s">
        <v>31</v>
      </c>
      <c r="H11" s="4" t="s">
        <v>53</v>
      </c>
      <c r="I11" s="4" t="s">
        <v>21</v>
      </c>
      <c r="J11" s="4"/>
      <c r="K11" s="3" t="s">
        <v>39</v>
      </c>
      <c r="L11" s="4" t="s">
        <v>31</v>
      </c>
      <c r="M11" s="4" t="s">
        <v>53</v>
      </c>
      <c r="N11" s="4" t="s">
        <v>21</v>
      </c>
      <c r="O11" s="4"/>
      <c r="P11" s="3" t="s">
        <v>29</v>
      </c>
      <c r="Q11" s="4" t="s">
        <v>20</v>
      </c>
      <c r="R11" s="4" t="s">
        <v>53</v>
      </c>
      <c r="S11" s="4" t="s">
        <v>21</v>
      </c>
      <c r="T11" s="4"/>
      <c r="U11" s="3" t="s">
        <v>42</v>
      </c>
      <c r="V11" s="4" t="s">
        <v>31</v>
      </c>
      <c r="W11" s="4" t="s">
        <v>53</v>
      </c>
      <c r="X11" s="4" t="s">
        <v>21</v>
      </c>
    </row>
    <row r="12" spans="1:24">
      <c r="A12" s="4" t="s">
        <v>22</v>
      </c>
      <c r="B12" s="4">
        <v>2674</v>
      </c>
      <c r="C12" s="4">
        <v>1230</v>
      </c>
      <c r="D12" s="4">
        <v>3883</v>
      </c>
      <c r="E12" s="4"/>
      <c r="F12" s="4" t="s">
        <v>22</v>
      </c>
      <c r="G12" s="4">
        <v>3419</v>
      </c>
      <c r="H12" s="4">
        <v>2706</v>
      </c>
      <c r="I12" s="4">
        <v>4854</v>
      </c>
      <c r="J12" s="4"/>
      <c r="K12" s="4" t="s">
        <v>22</v>
      </c>
      <c r="L12" s="4">
        <v>2660</v>
      </c>
      <c r="M12" s="4">
        <v>1140</v>
      </c>
      <c r="N12" s="4">
        <v>3426</v>
      </c>
      <c r="O12" s="4"/>
      <c r="P12" s="4" t="s">
        <v>22</v>
      </c>
      <c r="Q12" s="4">
        <v>1131</v>
      </c>
      <c r="R12" s="4">
        <v>895</v>
      </c>
      <c r="S12" s="4">
        <v>1173</v>
      </c>
      <c r="T12" s="4"/>
      <c r="U12" s="4" t="s">
        <v>22</v>
      </c>
      <c r="V12" s="4">
        <v>1339</v>
      </c>
      <c r="W12" s="4">
        <v>1540</v>
      </c>
      <c r="X12" s="4">
        <v>1716</v>
      </c>
    </row>
    <row r="13" spans="1:24">
      <c r="A13" s="4" t="s">
        <v>23</v>
      </c>
      <c r="B13" s="4">
        <v>2341</v>
      </c>
      <c r="C13" s="4">
        <v>1122</v>
      </c>
      <c r="D13" s="4">
        <v>3817</v>
      </c>
      <c r="E13" s="4"/>
      <c r="F13" s="4" t="s">
        <v>23</v>
      </c>
      <c r="G13" s="4">
        <v>3623</v>
      </c>
      <c r="H13" s="4">
        <v>2532</v>
      </c>
      <c r="I13" s="4">
        <v>4962</v>
      </c>
      <c r="J13" s="4"/>
      <c r="K13" s="4" t="s">
        <v>23</v>
      </c>
      <c r="L13" s="4">
        <v>2545</v>
      </c>
      <c r="M13" s="4">
        <v>1199</v>
      </c>
      <c r="N13" s="4">
        <v>2080</v>
      </c>
      <c r="O13" s="4"/>
      <c r="P13" s="4" t="s">
        <v>23</v>
      </c>
      <c r="Q13" s="4">
        <v>1206</v>
      </c>
      <c r="R13" s="4">
        <v>882</v>
      </c>
      <c r="S13" s="4">
        <v>1160</v>
      </c>
      <c r="T13" s="4"/>
      <c r="U13" s="4" t="s">
        <v>23</v>
      </c>
      <c r="V13" s="4">
        <v>1291</v>
      </c>
      <c r="W13" s="4">
        <v>1604</v>
      </c>
      <c r="X13" s="4">
        <v>1692</v>
      </c>
    </row>
    <row r="14" spans="1:24">
      <c r="A14" s="4" t="s">
        <v>24</v>
      </c>
      <c r="B14" s="4">
        <v>3350</v>
      </c>
      <c r="C14" s="4">
        <v>1643</v>
      </c>
      <c r="D14" s="4">
        <v>4767</v>
      </c>
      <c r="E14" s="4"/>
      <c r="F14" s="4" t="s">
        <v>24</v>
      </c>
      <c r="G14" s="4">
        <v>4228</v>
      </c>
      <c r="H14" s="4">
        <v>2793</v>
      </c>
      <c r="I14" s="4">
        <v>4810</v>
      </c>
      <c r="J14" s="4"/>
      <c r="K14" s="4" t="s">
        <v>24</v>
      </c>
      <c r="L14" s="4">
        <v>2686</v>
      </c>
      <c r="M14" s="4">
        <v>1438</v>
      </c>
      <c r="N14" s="4">
        <v>3202</v>
      </c>
      <c r="O14" s="4"/>
      <c r="P14" s="4" t="s">
        <v>24</v>
      </c>
      <c r="Q14" s="4">
        <v>1202</v>
      </c>
      <c r="R14" s="4">
        <v>823</v>
      </c>
      <c r="S14" s="4">
        <v>1159</v>
      </c>
      <c r="T14" s="4"/>
      <c r="U14" s="4" t="s">
        <v>24</v>
      </c>
      <c r="V14" s="4">
        <v>1541</v>
      </c>
      <c r="W14" s="4">
        <v>1785</v>
      </c>
      <c r="X14" s="4">
        <v>1706</v>
      </c>
    </row>
    <row r="15" spans="1:24">
      <c r="A15" s="4" t="s">
        <v>25</v>
      </c>
      <c r="B15" s="4">
        <v>3738</v>
      </c>
      <c r="C15" s="4">
        <v>1095</v>
      </c>
      <c r="D15" s="4">
        <v>3409</v>
      </c>
      <c r="E15" s="4"/>
      <c r="F15" s="4" t="s">
        <v>25</v>
      </c>
      <c r="G15" s="4">
        <v>4361</v>
      </c>
      <c r="H15" s="4">
        <v>2689</v>
      </c>
      <c r="I15" s="4">
        <v>4927</v>
      </c>
      <c r="J15" s="4"/>
      <c r="K15" s="4" t="s">
        <v>25</v>
      </c>
      <c r="L15" s="4">
        <v>3329</v>
      </c>
      <c r="M15" s="4">
        <v>1567</v>
      </c>
      <c r="N15" s="4">
        <v>3053</v>
      </c>
      <c r="O15" s="4"/>
      <c r="P15" s="4" t="s">
        <v>25</v>
      </c>
      <c r="Q15" s="4">
        <v>1199</v>
      </c>
      <c r="R15" s="4">
        <v>880</v>
      </c>
      <c r="S15" s="4">
        <v>1087</v>
      </c>
      <c r="T15" s="4"/>
      <c r="U15" s="4" t="s">
        <v>25</v>
      </c>
      <c r="V15" s="4">
        <v>1703</v>
      </c>
      <c r="W15" s="4">
        <v>1971</v>
      </c>
      <c r="X15" s="4">
        <v>1771</v>
      </c>
    </row>
    <row r="16" spans="1:24" s="16" customFormat="1">
      <c r="A16" s="15" t="s">
        <v>26</v>
      </c>
      <c r="B16" s="15">
        <v>3025.75</v>
      </c>
      <c r="C16" s="15">
        <v>1272.5</v>
      </c>
      <c r="D16" s="15">
        <v>3969</v>
      </c>
      <c r="E16" s="15"/>
      <c r="F16" s="15" t="s">
        <v>26</v>
      </c>
      <c r="G16" s="15">
        <v>3907.75</v>
      </c>
      <c r="H16" s="15">
        <v>2680</v>
      </c>
      <c r="I16" s="15">
        <v>4888.25</v>
      </c>
      <c r="J16" s="15"/>
      <c r="K16" s="15" t="s">
        <v>26</v>
      </c>
      <c r="L16" s="15">
        <f>AVERAGE(L12:L15)</f>
        <v>2805</v>
      </c>
      <c r="M16" s="15">
        <f t="shared" ref="M16:N16" si="10">AVERAGE(M12:M15)</f>
        <v>1336</v>
      </c>
      <c r="N16" s="15">
        <f t="shared" si="10"/>
        <v>2940.25</v>
      </c>
      <c r="O16" s="15"/>
      <c r="P16" s="15" t="s">
        <v>26</v>
      </c>
      <c r="Q16" s="15">
        <f>AVERAGE(Q12:Q15)</f>
        <v>1184.5</v>
      </c>
      <c r="R16" s="15">
        <f t="shared" ref="R16" si="11">AVERAGE(R12:R15)</f>
        <v>870</v>
      </c>
      <c r="S16" s="15">
        <f>AVERAGE(S12:S15)</f>
        <v>1144.75</v>
      </c>
      <c r="T16" s="15"/>
      <c r="U16" s="15" t="s">
        <v>26</v>
      </c>
      <c r="V16" s="15">
        <v>1468.5</v>
      </c>
      <c r="W16" s="15">
        <v>1725</v>
      </c>
      <c r="X16" s="15">
        <v>1721.25</v>
      </c>
    </row>
    <row r="17" spans="1:24" s="16" customFormat="1">
      <c r="A17" s="15" t="s">
        <v>27</v>
      </c>
      <c r="B17" s="15">
        <v>633.78459800366454</v>
      </c>
      <c r="C17" s="15">
        <v>253.79322291976197</v>
      </c>
      <c r="D17" s="15">
        <v>571.81115763860362</v>
      </c>
      <c r="E17" s="15"/>
      <c r="F17" s="15" t="s">
        <v>27</v>
      </c>
      <c r="G17" s="15">
        <v>457.5131145661291</v>
      </c>
      <c r="H17" s="15">
        <v>108.67382389517726</v>
      </c>
      <c r="I17" s="15">
        <v>68.88819444094419</v>
      </c>
      <c r="J17" s="15"/>
      <c r="K17" s="15" t="s">
        <v>27</v>
      </c>
      <c r="L17" s="15">
        <f>STDEV(L12:L15)</f>
        <v>354.66510024716746</v>
      </c>
      <c r="M17" s="15">
        <f t="shared" ref="M17:N17" si="12">STDEV(M12:M15)</f>
        <v>200.79010599794668</v>
      </c>
      <c r="N17" s="15">
        <f t="shared" si="12"/>
        <v>593.63533980606871</v>
      </c>
      <c r="O17" s="15"/>
      <c r="P17" s="15" t="s">
        <v>27</v>
      </c>
      <c r="Q17" s="15">
        <f>STDEV(Q13:Q15)</f>
        <v>3.5118845842842465</v>
      </c>
      <c r="R17" s="15">
        <f>STDEV(R13:R16)</f>
        <v>27.669176592976765</v>
      </c>
      <c r="S17" s="15">
        <f>STDEV(S13:S16)</f>
        <v>34.50203798328441</v>
      </c>
      <c r="T17" s="15"/>
      <c r="U17" s="15" t="s">
        <v>27</v>
      </c>
      <c r="V17" s="15">
        <v>190.19551344165123</v>
      </c>
      <c r="W17" s="15">
        <v>194.06356346997924</v>
      </c>
      <c r="X17" s="15">
        <v>34.596483443648815</v>
      </c>
    </row>
    <row r="18" spans="1:2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>
      <c r="A20" s="3" t="s">
        <v>35</v>
      </c>
      <c r="B20" s="4" t="s">
        <v>31</v>
      </c>
      <c r="C20" s="4" t="s">
        <v>53</v>
      </c>
      <c r="D20" s="4" t="s">
        <v>21</v>
      </c>
      <c r="E20" s="4"/>
      <c r="F20" s="3" t="s">
        <v>38</v>
      </c>
      <c r="G20" s="4" t="s">
        <v>31</v>
      </c>
      <c r="H20" s="4" t="s">
        <v>53</v>
      </c>
      <c r="I20" s="4" t="s">
        <v>21</v>
      </c>
      <c r="J20" s="4"/>
      <c r="K20" s="3" t="s">
        <v>33</v>
      </c>
      <c r="L20" s="4" t="s">
        <v>20</v>
      </c>
      <c r="M20" s="4" t="s">
        <v>53</v>
      </c>
      <c r="N20" s="4" t="s">
        <v>21</v>
      </c>
      <c r="O20" s="4"/>
      <c r="P20" s="3" t="s">
        <v>34</v>
      </c>
      <c r="Q20" s="4" t="s">
        <v>20</v>
      </c>
      <c r="R20" s="4" t="s">
        <v>53</v>
      </c>
      <c r="S20" s="4" t="s">
        <v>21</v>
      </c>
      <c r="T20" s="4"/>
      <c r="U20" s="3" t="s">
        <v>43</v>
      </c>
      <c r="V20" s="4" t="s">
        <v>20</v>
      </c>
      <c r="W20" s="4" t="s">
        <v>53</v>
      </c>
      <c r="X20" s="4" t="s">
        <v>21</v>
      </c>
    </row>
    <row r="21" spans="1:24">
      <c r="A21" s="4" t="s">
        <v>22</v>
      </c>
      <c r="B21" s="4">
        <v>1790</v>
      </c>
      <c r="C21" s="4">
        <v>2636</v>
      </c>
      <c r="D21" s="4">
        <v>2010</v>
      </c>
      <c r="E21" s="4"/>
      <c r="F21" s="4" t="s">
        <v>22</v>
      </c>
      <c r="G21" s="4">
        <v>2077</v>
      </c>
      <c r="H21" s="4">
        <v>5217</v>
      </c>
      <c r="I21" s="4">
        <v>2407</v>
      </c>
      <c r="J21" s="4"/>
      <c r="K21" s="4" t="s">
        <v>22</v>
      </c>
      <c r="L21" s="4">
        <v>1454</v>
      </c>
      <c r="M21" s="4">
        <v>3040</v>
      </c>
      <c r="N21" s="4">
        <v>1527</v>
      </c>
      <c r="O21" s="4"/>
      <c r="P21" s="4" t="s">
        <v>22</v>
      </c>
      <c r="Q21" s="4">
        <v>599</v>
      </c>
      <c r="R21" s="4">
        <v>1690</v>
      </c>
      <c r="S21" s="4">
        <v>566</v>
      </c>
      <c r="T21" s="4"/>
      <c r="U21" s="4" t="s">
        <v>22</v>
      </c>
      <c r="V21" s="4">
        <v>1309</v>
      </c>
      <c r="W21" s="4">
        <v>1303</v>
      </c>
      <c r="X21" s="4">
        <v>1570</v>
      </c>
    </row>
    <row r="22" spans="1:24">
      <c r="A22" s="4" t="s">
        <v>23</v>
      </c>
      <c r="B22" s="4">
        <v>1955</v>
      </c>
      <c r="C22" s="4">
        <v>2620</v>
      </c>
      <c r="D22" s="4">
        <v>2274</v>
      </c>
      <c r="E22" s="4"/>
      <c r="F22" s="4" t="s">
        <v>23</v>
      </c>
      <c r="G22" s="4">
        <v>1798</v>
      </c>
      <c r="H22" s="4">
        <v>5244</v>
      </c>
      <c r="I22" s="4">
        <v>2246</v>
      </c>
      <c r="J22" s="4"/>
      <c r="K22" s="4" t="s">
        <v>23</v>
      </c>
      <c r="L22" s="4">
        <v>1610</v>
      </c>
      <c r="M22" s="4">
        <v>3265</v>
      </c>
      <c r="N22" s="4">
        <v>1527</v>
      </c>
      <c r="O22" s="4"/>
      <c r="P22" s="4" t="s">
        <v>23</v>
      </c>
      <c r="Q22" s="4">
        <v>632</v>
      </c>
      <c r="R22" s="4">
        <v>1777</v>
      </c>
      <c r="S22" s="4">
        <v>620</v>
      </c>
      <c r="T22" s="4"/>
      <c r="U22" s="4" t="s">
        <v>23</v>
      </c>
      <c r="V22" s="4">
        <v>1427</v>
      </c>
      <c r="W22" s="4">
        <v>1397</v>
      </c>
      <c r="X22" s="4">
        <v>1668</v>
      </c>
    </row>
    <row r="23" spans="1:24">
      <c r="A23" s="4" t="s">
        <v>24</v>
      </c>
      <c r="B23" s="4">
        <v>1967</v>
      </c>
      <c r="C23" s="4">
        <v>2605</v>
      </c>
      <c r="D23" s="4">
        <v>2270</v>
      </c>
      <c r="E23" s="4"/>
      <c r="F23" s="4" t="s">
        <v>24</v>
      </c>
      <c r="G23" s="4">
        <v>1780</v>
      </c>
      <c r="H23" s="4">
        <v>5036</v>
      </c>
      <c r="I23" s="4">
        <v>2171</v>
      </c>
      <c r="J23" s="4"/>
      <c r="K23" s="4" t="s">
        <v>24</v>
      </c>
      <c r="L23" s="4">
        <v>1643</v>
      </c>
      <c r="M23" s="4">
        <v>3209</v>
      </c>
      <c r="N23" s="4">
        <v>1568</v>
      </c>
      <c r="O23" s="4"/>
      <c r="P23" s="4" t="s">
        <v>24</v>
      </c>
      <c r="Q23" s="4">
        <v>623</v>
      </c>
      <c r="R23" s="4">
        <v>1982</v>
      </c>
      <c r="S23" s="4">
        <v>609</v>
      </c>
      <c r="T23" s="4"/>
      <c r="U23" s="4" t="s">
        <v>24</v>
      </c>
      <c r="V23" s="4">
        <v>1487</v>
      </c>
      <c r="W23" s="4">
        <v>1499</v>
      </c>
      <c r="X23" s="4">
        <v>1611</v>
      </c>
    </row>
    <row r="24" spans="1:24">
      <c r="A24" s="4" t="s">
        <v>25</v>
      </c>
      <c r="B24" s="4">
        <v>1973</v>
      </c>
      <c r="C24" s="4">
        <v>2930</v>
      </c>
      <c r="D24" s="4">
        <v>1944</v>
      </c>
      <c r="E24" s="4"/>
      <c r="F24" s="4" t="s">
        <v>25</v>
      </c>
      <c r="G24" s="4">
        <v>1934</v>
      </c>
      <c r="H24" s="4">
        <v>5717</v>
      </c>
      <c r="I24" s="4">
        <v>2300</v>
      </c>
      <c r="J24" s="4"/>
      <c r="K24" s="4" t="s">
        <v>25</v>
      </c>
      <c r="L24" s="4">
        <v>1534</v>
      </c>
      <c r="M24" s="4">
        <v>3372</v>
      </c>
      <c r="N24" s="4">
        <v>1506</v>
      </c>
      <c r="O24" s="4"/>
      <c r="P24" s="4" t="s">
        <v>25</v>
      </c>
      <c r="Q24" s="4">
        <v>602</v>
      </c>
      <c r="R24" s="4">
        <v>2032</v>
      </c>
      <c r="S24" s="4">
        <v>605</v>
      </c>
      <c r="T24" s="4"/>
      <c r="U24" s="4" t="s">
        <v>25</v>
      </c>
      <c r="V24" s="4">
        <v>1423</v>
      </c>
      <c r="W24" s="4">
        <v>1635</v>
      </c>
      <c r="X24" s="4">
        <v>1686</v>
      </c>
    </row>
    <row r="25" spans="1:24" s="16" customFormat="1">
      <c r="A25" s="15" t="s">
        <v>26</v>
      </c>
      <c r="B25" s="15">
        <f>AVERAGE(B21:B24)</f>
        <v>1921.25</v>
      </c>
      <c r="C25" s="15">
        <f t="shared" ref="C25:D25" si="13">AVERAGE(C21:C24)</f>
        <v>2697.75</v>
      </c>
      <c r="D25" s="15">
        <f t="shared" si="13"/>
        <v>2124.5</v>
      </c>
      <c r="E25" s="15"/>
      <c r="F25" s="15" t="s">
        <v>26</v>
      </c>
      <c r="G25" s="15">
        <f>AVERAGE(G21:G24)</f>
        <v>1897.25</v>
      </c>
      <c r="H25" s="15">
        <f t="shared" ref="H25:I25" si="14">AVERAGE(H21:H24)</f>
        <v>5303.5</v>
      </c>
      <c r="I25" s="15">
        <f t="shared" si="14"/>
        <v>2281</v>
      </c>
      <c r="J25" s="15"/>
      <c r="K25" s="15" t="s">
        <v>26</v>
      </c>
      <c r="L25" s="15">
        <f>AVERAGE(L21:L24)</f>
        <v>1560.25</v>
      </c>
      <c r="M25" s="15">
        <f t="shared" ref="M25:N25" si="15">AVERAGE(M21:M24)</f>
        <v>3221.5</v>
      </c>
      <c r="N25" s="15">
        <f t="shared" si="15"/>
        <v>1532</v>
      </c>
      <c r="O25" s="15"/>
      <c r="P25" s="15" t="s">
        <v>26</v>
      </c>
      <c r="Q25" s="15">
        <f>AVERAGE(Q21:Q24)</f>
        <v>614</v>
      </c>
      <c r="R25" s="15">
        <f t="shared" ref="R25:S25" si="16">AVERAGE(R21:R24)</f>
        <v>1870.25</v>
      </c>
      <c r="S25" s="15">
        <f t="shared" si="16"/>
        <v>600</v>
      </c>
      <c r="T25" s="15"/>
      <c r="U25" s="15" t="s">
        <v>26</v>
      </c>
      <c r="V25" s="15">
        <f>AVERAGE(V21:V24)</f>
        <v>1411.5</v>
      </c>
      <c r="W25" s="15">
        <f t="shared" ref="W25" si="17">AVERAGE(W21:W24)</f>
        <v>1458.5</v>
      </c>
      <c r="X25" s="15">
        <f>AVERAGE(X21:X24)</f>
        <v>1633.75</v>
      </c>
    </row>
    <row r="26" spans="1:24" s="16" customFormat="1">
      <c r="A26" s="15" t="s">
        <v>27</v>
      </c>
      <c r="B26" s="15">
        <f>STDEV(B21:B24)</f>
        <v>87.819416987361052</v>
      </c>
      <c r="C26" s="15">
        <f t="shared" ref="C26:D26" si="18">STDEV(C21:C24)</f>
        <v>155.34987394051316</v>
      </c>
      <c r="D26" s="15">
        <f t="shared" si="18"/>
        <v>172.4441938715247</v>
      </c>
      <c r="E26" s="15"/>
      <c r="F26" s="15" t="s">
        <v>27</v>
      </c>
      <c r="G26" s="15">
        <f>STDEV(G21:G24)</f>
        <v>138.15299490058115</v>
      </c>
      <c r="H26" s="15">
        <f t="shared" ref="H26:I26" si="19">STDEV(H21:H24)</f>
        <v>290.72380936781445</v>
      </c>
      <c r="I26" s="15">
        <f t="shared" si="19"/>
        <v>99.267315869826959</v>
      </c>
      <c r="J26" s="15"/>
      <c r="K26" s="15" t="s">
        <v>27</v>
      </c>
      <c r="L26" s="15">
        <f>STDEV(L21:L24)</f>
        <v>84.262981195777783</v>
      </c>
      <c r="M26" s="15">
        <f t="shared" ref="M26:N26" si="20">STDEV(M21:M24)</f>
        <v>138.61337116839294</v>
      </c>
      <c r="N26" s="15">
        <f t="shared" si="20"/>
        <v>25.96150997149434</v>
      </c>
      <c r="O26" s="15"/>
      <c r="P26" s="15" t="s">
        <v>27</v>
      </c>
      <c r="Q26" s="15">
        <f>STDEV(Q21:Q24)</f>
        <v>16.06237840420901</v>
      </c>
      <c r="R26" s="15">
        <f t="shared" ref="R26:S26" si="21">STDEV(R21:R24)</f>
        <v>163.13261476479803</v>
      </c>
      <c r="S26" s="15">
        <f t="shared" si="21"/>
        <v>23.53720459187964</v>
      </c>
      <c r="T26" s="15"/>
      <c r="U26" s="15" t="s">
        <v>27</v>
      </c>
      <c r="V26" s="15">
        <f>STDEV(V21:V24)</f>
        <v>74.339312166130057</v>
      </c>
      <c r="W26" s="15">
        <f t="shared" ref="W26:X26" si="22">STDEV(W21:W24)</f>
        <v>142.30835065682783</v>
      </c>
      <c r="X26" s="15">
        <f t="shared" si="22"/>
        <v>53.18129370370751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78FC7-9B01-B641-ADFE-485D89588FF4}">
  <dimension ref="A1:G49"/>
  <sheetViews>
    <sheetView zoomScale="112" zoomScaleNormal="112" workbookViewId="0">
      <selection activeCell="A2" sqref="A2"/>
    </sheetView>
  </sheetViews>
  <sheetFormatPr baseColWidth="10" defaultRowHeight="20"/>
  <cols>
    <col min="4" max="4" width="17.140625" bestFit="1" customWidth="1"/>
    <col min="6" max="6" width="16.85546875" bestFit="1" customWidth="1"/>
  </cols>
  <sheetData>
    <row r="1" spans="1:7">
      <c r="A1" t="s">
        <v>52</v>
      </c>
    </row>
    <row r="2" spans="1:7">
      <c r="A2" s="6"/>
      <c r="B2" s="2"/>
      <c r="C2" s="6"/>
      <c r="D2" s="7" t="s">
        <v>44</v>
      </c>
      <c r="E2" s="7" t="s">
        <v>45</v>
      </c>
      <c r="F2" s="7" t="s">
        <v>46</v>
      </c>
      <c r="G2" s="7" t="s">
        <v>47</v>
      </c>
    </row>
    <row r="3" spans="1:7">
      <c r="A3" s="8" t="s">
        <v>48</v>
      </c>
      <c r="C3" s="8" t="s">
        <v>49</v>
      </c>
      <c r="D3" s="9">
        <v>898.15331488928359</v>
      </c>
      <c r="E3" s="9">
        <v>5.3461922738137417</v>
      </c>
      <c r="F3" s="9">
        <v>38.948167792811695</v>
      </c>
      <c r="G3" s="9">
        <v>2.4376610633879563E-2</v>
      </c>
    </row>
    <row r="4" spans="1:7">
      <c r="A4" s="8"/>
      <c r="B4" t="s">
        <v>50</v>
      </c>
      <c r="C4" s="10">
        <v>50</v>
      </c>
      <c r="D4" s="9">
        <v>1299.7557516620109</v>
      </c>
      <c r="E4" s="9">
        <v>4.4577478691094408</v>
      </c>
      <c r="F4" s="9">
        <v>67.578657571551133</v>
      </c>
      <c r="G4" s="9">
        <v>0.14234106383530698</v>
      </c>
    </row>
    <row r="5" spans="1:7">
      <c r="A5" s="8"/>
      <c r="C5" s="10">
        <v>25</v>
      </c>
      <c r="D5" s="9">
        <v>1172.6897951066758</v>
      </c>
      <c r="E5" s="9">
        <v>4.2056318643870068</v>
      </c>
      <c r="F5" s="9">
        <v>71.324596138724786</v>
      </c>
      <c r="G5" s="9">
        <v>5.0747520654731877E-2</v>
      </c>
    </row>
    <row r="6" spans="1:7">
      <c r="A6" s="8"/>
      <c r="C6" s="10">
        <v>12.5</v>
      </c>
      <c r="D6" s="9">
        <v>843.13755957811634</v>
      </c>
      <c r="E6" s="9">
        <v>3.1705428837727943</v>
      </c>
      <c r="F6" s="9">
        <v>46.309986798872217</v>
      </c>
      <c r="G6" s="9">
        <v>0.14185128324761789</v>
      </c>
    </row>
    <row r="7" spans="1:7">
      <c r="A7" s="6"/>
      <c r="B7" s="2"/>
      <c r="C7" s="6">
        <v>0</v>
      </c>
      <c r="D7" s="11">
        <v>961.31976224918003</v>
      </c>
      <c r="E7" s="11">
        <v>3.3305324264286851</v>
      </c>
      <c r="F7" s="11">
        <v>61.109709117298692</v>
      </c>
      <c r="G7" s="11">
        <v>0.18397752819027233</v>
      </c>
    </row>
    <row r="8" spans="1:7">
      <c r="A8" s="8" t="s">
        <v>51</v>
      </c>
      <c r="C8" s="8" t="s">
        <v>49</v>
      </c>
      <c r="D8" s="9">
        <v>1253.9768230203285</v>
      </c>
      <c r="E8" s="9">
        <v>4.7299567652525933</v>
      </c>
      <c r="F8" s="9">
        <v>86.029134733280955</v>
      </c>
      <c r="G8" s="9">
        <v>0.32738084488027347</v>
      </c>
    </row>
    <row r="9" spans="1:7">
      <c r="A9" s="8"/>
      <c r="B9" t="s">
        <v>50</v>
      </c>
      <c r="C9" s="10">
        <v>50</v>
      </c>
      <c r="D9" s="9">
        <v>2294.4439024396006</v>
      </c>
      <c r="E9" s="9">
        <v>4.6847635516442718</v>
      </c>
      <c r="F9" s="9">
        <v>53.872843886752854</v>
      </c>
      <c r="G9" s="9">
        <v>4.7688865410154005E-2</v>
      </c>
    </row>
    <row r="10" spans="1:7">
      <c r="A10" s="8"/>
      <c r="C10" s="10">
        <v>25</v>
      </c>
      <c r="D10" s="9">
        <v>2888.041454242029</v>
      </c>
      <c r="E10" s="9">
        <v>3.4494590310360516</v>
      </c>
      <c r="F10" s="9">
        <v>141.17101862014431</v>
      </c>
      <c r="G10" s="9">
        <v>0.13775877330746036</v>
      </c>
    </row>
    <row r="11" spans="1:7">
      <c r="A11" s="8"/>
      <c r="C11" s="10">
        <v>12.5</v>
      </c>
      <c r="D11" s="9">
        <v>2922.1944735168222</v>
      </c>
      <c r="E11" s="9">
        <v>1.983401306978277</v>
      </c>
      <c r="F11" s="9">
        <v>396.13662538562357</v>
      </c>
      <c r="G11" s="9">
        <v>0.1189381343306099</v>
      </c>
    </row>
    <row r="12" spans="1:7">
      <c r="A12" s="8"/>
      <c r="C12" s="8">
        <v>0</v>
      </c>
      <c r="D12" s="9">
        <v>2355.7799784211602</v>
      </c>
      <c r="E12" s="9">
        <v>2.2410681825563801</v>
      </c>
      <c r="F12" s="9">
        <v>108.54652776126616</v>
      </c>
      <c r="G12" s="9">
        <v>0.19600886701778411</v>
      </c>
    </row>
    <row r="41" spans="3:5">
      <c r="E41" s="12"/>
    </row>
    <row r="42" spans="3:5">
      <c r="C42" s="13"/>
      <c r="E42" s="12"/>
    </row>
    <row r="43" spans="3:5">
      <c r="C43" s="13"/>
      <c r="E43" s="12"/>
    </row>
    <row r="44" spans="3:5">
      <c r="C44" s="13"/>
      <c r="E44" s="12"/>
    </row>
    <row r="46" spans="3:5">
      <c r="E46" s="12"/>
    </row>
    <row r="47" spans="3:5">
      <c r="C47" s="13"/>
      <c r="E47" s="12"/>
    </row>
    <row r="48" spans="3:5">
      <c r="C48" s="13"/>
      <c r="E48" s="12"/>
    </row>
    <row r="49" spans="3:5">
      <c r="C49" s="13"/>
      <c r="E49" s="1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Figure3</vt:lpstr>
      <vt:lpstr>Figure3_S2</vt:lpstr>
      <vt:lpstr>Figure3_S3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藤田 祐梨</dc:creator>
  <cp:lastModifiedBy>藤田 祐梨</cp:lastModifiedBy>
  <dcterms:created xsi:type="dcterms:W3CDTF">2025-06-02T05:05:01Z</dcterms:created>
  <dcterms:modified xsi:type="dcterms:W3CDTF">2025-06-03T02:16:45Z</dcterms:modified>
</cp:coreProperties>
</file>